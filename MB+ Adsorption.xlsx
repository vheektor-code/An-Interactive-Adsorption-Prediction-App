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14AC13F-A2C9-4333-838A-1D7F0201B112}" xr6:coauthVersionLast="47" xr6:coauthVersionMax="47" xr10:uidLastSave="{00000000-0000-0000-0000-000000000000}"/>
  <bookViews>
    <workbookView xWindow="-120" yWindow="-120" windowWidth="20730" windowHeight="11160" xr2:uid="{F0137C1A-9D23-4B36-A1AB-95FA0D635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8" i="1" l="1"/>
  <c r="J49" i="1"/>
  <c r="J39" i="1"/>
  <c r="J40" i="1"/>
  <c r="J41" i="1"/>
  <c r="J42" i="1"/>
  <c r="J43" i="1"/>
  <c r="J44" i="1"/>
  <c r="J45" i="1"/>
  <c r="J46" i="1"/>
  <c r="J47" i="1"/>
  <c r="J38" i="1"/>
  <c r="I49" i="1"/>
  <c r="I48" i="1"/>
  <c r="I47" i="1"/>
  <c r="I46" i="1"/>
  <c r="I45" i="1"/>
  <c r="I44" i="1"/>
  <c r="I43" i="1"/>
  <c r="I42" i="1"/>
  <c r="I41" i="1"/>
  <c r="I40" i="1"/>
  <c r="I39" i="1"/>
  <c r="I38" i="1"/>
  <c r="J30" i="1"/>
  <c r="J31" i="1"/>
  <c r="J32" i="1"/>
  <c r="J33" i="1"/>
  <c r="J34" i="1"/>
  <c r="J35" i="1"/>
  <c r="J36" i="1"/>
  <c r="J37" i="1"/>
  <c r="J29" i="1"/>
  <c r="I37" i="1"/>
  <c r="I36" i="1"/>
  <c r="I35" i="1"/>
  <c r="I34" i="1"/>
  <c r="I33" i="1"/>
  <c r="I32" i="1"/>
  <c r="I31" i="1"/>
  <c r="I30" i="1"/>
  <c r="I29" i="1"/>
  <c r="J21" i="1"/>
  <c r="J22" i="1"/>
  <c r="J23" i="1"/>
  <c r="J24" i="1"/>
  <c r="J25" i="1"/>
  <c r="J26" i="1"/>
  <c r="J27" i="1"/>
  <c r="J28" i="1"/>
  <c r="J20" i="1"/>
  <c r="I21" i="1"/>
  <c r="I22" i="1"/>
  <c r="I23" i="1"/>
  <c r="I24" i="1"/>
  <c r="I25" i="1"/>
  <c r="I26" i="1"/>
  <c r="I27" i="1"/>
  <c r="I28" i="1"/>
  <c r="I20" i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J8" i="1"/>
  <c r="I8" i="1"/>
  <c r="I7" i="1"/>
  <c r="J7" i="1" s="1"/>
  <c r="J6" i="1"/>
  <c r="I6" i="1"/>
  <c r="I5" i="1"/>
  <c r="J5" i="1" s="1"/>
  <c r="J4" i="1"/>
  <c r="I4" i="1"/>
  <c r="I3" i="1"/>
  <c r="J3" i="1" s="1"/>
  <c r="J2" i="1"/>
  <c r="I2" i="1"/>
</calcChain>
</file>

<file path=xl/sharedStrings.xml><?xml version="1.0" encoding="utf-8"?>
<sst xmlns="http://schemas.openxmlformats.org/spreadsheetml/2006/main" count="58" uniqueCount="12">
  <si>
    <t>Time</t>
  </si>
  <si>
    <t>Batch</t>
  </si>
  <si>
    <t>Temperature</t>
  </si>
  <si>
    <t>pH</t>
  </si>
  <si>
    <t>Volume</t>
  </si>
  <si>
    <t>Conc of Absorbance</t>
  </si>
  <si>
    <t>Amount of Adsorbent</t>
  </si>
  <si>
    <t>absorbance</t>
  </si>
  <si>
    <t>Adsorbent Dosage</t>
  </si>
  <si>
    <t>Absorbate Dosage</t>
  </si>
  <si>
    <t>Adsorption capacity</t>
  </si>
  <si>
    <t>Adsorbate 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</si>
</sst>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0C13-201E-4D58-BEDD-E991D6128328}">
  <dimension ref="A1:J49"/>
  <sheetViews>
    <sheetView tabSelected="1" workbookViewId="0">
      <selection activeCell="F2" sqref="F2"/>
    </sheetView>
  </sheetViews>
  <sheetFormatPr defaultRowHeight="15"/>
  <cols>
    <col min="1" max="1" width="16.7109375" customWidth="1"/>
    <col min="2" max="2" width="12.5703125" bestFit="1" customWidth="1"/>
    <col min="3" max="3" width="8" bestFit="1" customWidth="1"/>
    <col min="4" max="4" width="3.42578125" bestFit="1" customWidth="1"/>
    <col min="5" max="5" width="11.140625" bestFit="1" customWidth="1"/>
    <col min="6" max="6" width="15.140625" bestFit="1" customWidth="1"/>
    <col min="7" max="7" width="20.42578125" bestFit="1" customWidth="1"/>
    <col min="8" max="8" width="11.140625" bestFit="1" customWidth="1"/>
    <col min="9" max="9" width="19.42578125" bestFit="1" customWidth="1"/>
    <col min="10" max="10" width="24.5703125" bestFit="1" customWidth="1"/>
  </cols>
  <sheetData>
    <row r="1" spans="1:10">
      <c r="A1" s="1" t="s">
        <v>1</v>
      </c>
      <c r="B1" s="1" t="s">
        <v>2</v>
      </c>
      <c r="C1" s="1" t="s">
        <v>4</v>
      </c>
      <c r="D1" s="1" t="s">
        <v>3</v>
      </c>
      <c r="E1" s="1" t="s">
        <v>0</v>
      </c>
      <c r="F1" s="1" t="s">
        <v>11</v>
      </c>
      <c r="G1" s="1" t="s">
        <v>6</v>
      </c>
      <c r="H1" s="1" t="s">
        <v>7</v>
      </c>
      <c r="I1" s="1" t="s">
        <v>5</v>
      </c>
      <c r="J1" s="1" t="s">
        <v>10</v>
      </c>
    </row>
    <row r="2" spans="1:10">
      <c r="A2" s="1" t="s">
        <v>0</v>
      </c>
      <c r="B2" s="1">
        <v>37</v>
      </c>
      <c r="C2" s="1">
        <v>50</v>
      </c>
      <c r="D2" s="1">
        <v>7</v>
      </c>
      <c r="E2" s="1">
        <v>1</v>
      </c>
      <c r="F2" s="1">
        <v>10</v>
      </c>
      <c r="G2" s="1">
        <v>0.5</v>
      </c>
      <c r="H2" s="1">
        <v>0.13300000000000001</v>
      </c>
      <c r="I2" s="1">
        <f>AVERAGE(0.133/0.191)</f>
        <v>0.69633507853403143</v>
      </c>
      <c r="J2" s="1">
        <f t="shared" ref="J2:J10" si="0">AVERAGE(((F2-I2)*((50/1000)/0.5)))</f>
        <v>0.93036649214659684</v>
      </c>
    </row>
    <row r="3" spans="1:10">
      <c r="A3" s="1" t="s">
        <v>0</v>
      </c>
      <c r="B3" s="1">
        <v>37</v>
      </c>
      <c r="C3" s="1">
        <v>50</v>
      </c>
      <c r="D3" s="1">
        <v>7</v>
      </c>
      <c r="E3" s="1">
        <v>5</v>
      </c>
      <c r="F3" s="1">
        <v>10</v>
      </c>
      <c r="G3" s="1">
        <v>0.5</v>
      </c>
      <c r="H3" s="1">
        <v>0.16900000000000001</v>
      </c>
      <c r="I3" s="1">
        <f>AVERAGE(H3/0.191)</f>
        <v>0.88481675392670156</v>
      </c>
      <c r="J3" s="1">
        <f t="shared" si="0"/>
        <v>0.91151832460732996</v>
      </c>
    </row>
    <row r="4" spans="1:10">
      <c r="A4" s="1" t="s">
        <v>0</v>
      </c>
      <c r="B4" s="1">
        <v>37</v>
      </c>
      <c r="C4" s="1">
        <v>50</v>
      </c>
      <c r="D4" s="1">
        <v>7</v>
      </c>
      <c r="E4" s="1">
        <v>10</v>
      </c>
      <c r="F4" s="1">
        <v>10</v>
      </c>
      <c r="G4" s="1">
        <v>0.5</v>
      </c>
      <c r="H4" s="1">
        <v>0.17100000000000001</v>
      </c>
      <c r="I4" s="1">
        <f t="shared" ref="I4:I10" si="1">AVERAGE(H4/0.191)</f>
        <v>0.89528795811518325</v>
      </c>
      <c r="J4" s="1">
        <f t="shared" si="0"/>
        <v>0.91047120418848171</v>
      </c>
    </row>
    <row r="5" spans="1:10">
      <c r="A5" s="1" t="s">
        <v>0</v>
      </c>
      <c r="B5" s="1">
        <v>37</v>
      </c>
      <c r="C5" s="1">
        <v>50</v>
      </c>
      <c r="D5" s="1">
        <v>7</v>
      </c>
      <c r="E5" s="1">
        <v>15</v>
      </c>
      <c r="F5" s="1">
        <v>10</v>
      </c>
      <c r="G5" s="1">
        <v>0.5</v>
      </c>
      <c r="H5" s="1">
        <v>0.17399999999999999</v>
      </c>
      <c r="I5" s="1">
        <f t="shared" si="1"/>
        <v>0.91099476439790572</v>
      </c>
      <c r="J5" s="1">
        <f t="shared" si="0"/>
        <v>0.90890052356020945</v>
      </c>
    </row>
    <row r="6" spans="1:10">
      <c r="A6" s="1" t="s">
        <v>0</v>
      </c>
      <c r="B6" s="1">
        <v>37</v>
      </c>
      <c r="C6" s="1">
        <v>50</v>
      </c>
      <c r="D6" s="1">
        <v>7</v>
      </c>
      <c r="E6" s="1">
        <v>20</v>
      </c>
      <c r="F6" s="1">
        <v>10</v>
      </c>
      <c r="G6" s="1">
        <v>0.5</v>
      </c>
      <c r="H6" s="1">
        <v>0.182</v>
      </c>
      <c r="I6" s="1">
        <f t="shared" si="1"/>
        <v>0.95287958115183247</v>
      </c>
      <c r="J6" s="1">
        <f t="shared" si="0"/>
        <v>0.90471204188481691</v>
      </c>
    </row>
    <row r="7" spans="1:10">
      <c r="A7" s="1" t="s">
        <v>0</v>
      </c>
      <c r="B7" s="1">
        <v>37</v>
      </c>
      <c r="C7" s="1">
        <v>50</v>
      </c>
      <c r="D7" s="1">
        <v>7</v>
      </c>
      <c r="E7" s="1">
        <v>25</v>
      </c>
      <c r="F7" s="1">
        <v>10</v>
      </c>
      <c r="G7" s="1">
        <v>0.5</v>
      </c>
      <c r="H7" s="1">
        <v>0.20499999999999999</v>
      </c>
      <c r="I7" s="1">
        <f t="shared" si="1"/>
        <v>1.0732984293193717</v>
      </c>
      <c r="J7" s="1">
        <f t="shared" si="0"/>
        <v>0.89267015706806285</v>
      </c>
    </row>
    <row r="8" spans="1:10">
      <c r="A8" s="1" t="s">
        <v>0</v>
      </c>
      <c r="B8" s="1">
        <v>37</v>
      </c>
      <c r="C8" s="1">
        <v>50</v>
      </c>
      <c r="D8" s="1">
        <v>7</v>
      </c>
      <c r="E8" s="1">
        <v>30</v>
      </c>
      <c r="F8" s="1">
        <v>10</v>
      </c>
      <c r="G8" s="1">
        <v>0.5</v>
      </c>
      <c r="H8" s="2">
        <v>0.25</v>
      </c>
      <c r="I8" s="1">
        <f t="shared" si="1"/>
        <v>1.3089005235602094</v>
      </c>
      <c r="J8" s="1">
        <f t="shared" si="0"/>
        <v>0.86910994764397909</v>
      </c>
    </row>
    <row r="9" spans="1:10">
      <c r="A9" s="1" t="s">
        <v>0</v>
      </c>
      <c r="B9" s="1">
        <v>37</v>
      </c>
      <c r="C9" s="1">
        <v>50</v>
      </c>
      <c r="D9" s="1">
        <v>7</v>
      </c>
      <c r="E9" s="1">
        <v>35</v>
      </c>
      <c r="F9" s="1">
        <v>10</v>
      </c>
      <c r="G9" s="1">
        <v>0.5</v>
      </c>
      <c r="H9" s="1">
        <v>0.247</v>
      </c>
      <c r="I9" s="1">
        <f t="shared" si="1"/>
        <v>1.2931937172774868</v>
      </c>
      <c r="J9" s="1">
        <f t="shared" si="0"/>
        <v>0.87068062827225146</v>
      </c>
    </row>
    <row r="10" spans="1:10">
      <c r="A10" s="1" t="s">
        <v>0</v>
      </c>
      <c r="B10" s="1">
        <v>37</v>
      </c>
      <c r="C10" s="1">
        <v>50</v>
      </c>
      <c r="D10" s="1">
        <v>7</v>
      </c>
      <c r="E10" s="1">
        <v>40</v>
      </c>
      <c r="F10" s="1">
        <v>10</v>
      </c>
      <c r="G10" s="1">
        <v>0.5</v>
      </c>
      <c r="H10" s="1">
        <v>0.251</v>
      </c>
      <c r="I10" s="1">
        <f t="shared" si="1"/>
        <v>1.3141361256544501</v>
      </c>
      <c r="J10" s="1">
        <f t="shared" si="0"/>
        <v>0.86858638743455507</v>
      </c>
    </row>
    <row r="11" spans="1:10">
      <c r="A11" s="1" t="s">
        <v>8</v>
      </c>
      <c r="B11" s="1">
        <v>37</v>
      </c>
      <c r="C11" s="1">
        <v>50</v>
      </c>
      <c r="D11" s="1">
        <v>7</v>
      </c>
      <c r="E11" s="1">
        <v>1</v>
      </c>
      <c r="F11" s="1">
        <v>10</v>
      </c>
      <c r="G11" s="1">
        <v>0.1</v>
      </c>
      <c r="H11" s="1">
        <v>0.52200000000000002</v>
      </c>
      <c r="I11" s="1">
        <f>AVERAGE(H11/0.191)</f>
        <v>2.7329842931937174</v>
      </c>
      <c r="J11" s="1">
        <f>AVERAGE(((F11-I11)*(50/1000))/G11)</f>
        <v>3.6335078534031418</v>
      </c>
    </row>
    <row r="12" spans="1:10">
      <c r="A12" s="1" t="s">
        <v>8</v>
      </c>
      <c r="B12" s="1">
        <v>37</v>
      </c>
      <c r="C12" s="1">
        <v>50</v>
      </c>
      <c r="D12" s="1">
        <v>7</v>
      </c>
      <c r="E12" s="1">
        <v>1</v>
      </c>
      <c r="F12" s="1">
        <v>10</v>
      </c>
      <c r="G12" s="1">
        <v>0.2</v>
      </c>
      <c r="H12" s="1">
        <v>0.52700000000000002</v>
      </c>
      <c r="I12" s="1">
        <f t="shared" ref="I12:I18" si="2">AVERAGE(H12/0.191)</f>
        <v>2.7591623036649215</v>
      </c>
      <c r="J12" s="1">
        <f t="shared" ref="J12:J19" si="3">AVERAGE(((F12-I12)*(50/1000))/G12)</f>
        <v>1.8102094240837696</v>
      </c>
    </row>
    <row r="13" spans="1:10">
      <c r="A13" s="1" t="s">
        <v>8</v>
      </c>
      <c r="B13" s="1">
        <v>37</v>
      </c>
      <c r="C13" s="1">
        <v>50</v>
      </c>
      <c r="D13" s="1">
        <v>7</v>
      </c>
      <c r="E13" s="1">
        <v>1</v>
      </c>
      <c r="F13" s="1">
        <v>10</v>
      </c>
      <c r="G13" s="1">
        <v>0.3</v>
      </c>
      <c r="H13" s="1">
        <v>0.55200000000000005</v>
      </c>
      <c r="I13" s="1">
        <f t="shared" si="2"/>
        <v>2.8900523560209428</v>
      </c>
      <c r="J13" s="1">
        <f t="shared" si="3"/>
        <v>1.1849912739965096</v>
      </c>
    </row>
    <row r="14" spans="1:10">
      <c r="A14" s="1" t="s">
        <v>8</v>
      </c>
      <c r="B14" s="1">
        <v>37</v>
      </c>
      <c r="C14" s="1">
        <v>50</v>
      </c>
      <c r="D14" s="1">
        <v>7</v>
      </c>
      <c r="E14" s="1">
        <v>1</v>
      </c>
      <c r="F14" s="1">
        <v>10</v>
      </c>
      <c r="G14" s="1">
        <v>0.4</v>
      </c>
      <c r="H14" s="1">
        <v>0.53300000000000003</v>
      </c>
      <c r="I14" s="1">
        <f t="shared" si="2"/>
        <v>2.7905759162303667</v>
      </c>
      <c r="J14" s="1">
        <f t="shared" si="3"/>
        <v>0.90117801047120416</v>
      </c>
    </row>
    <row r="15" spans="1:10">
      <c r="A15" s="1" t="s">
        <v>8</v>
      </c>
      <c r="B15" s="1">
        <v>37</v>
      </c>
      <c r="C15" s="1">
        <v>50</v>
      </c>
      <c r="D15" s="1">
        <v>7</v>
      </c>
      <c r="E15" s="1">
        <v>1</v>
      </c>
      <c r="F15" s="1">
        <v>10</v>
      </c>
      <c r="G15" s="1">
        <v>0.5</v>
      </c>
      <c r="H15" s="1">
        <v>0.53200000000000003</v>
      </c>
      <c r="I15" s="1">
        <f t="shared" si="2"/>
        <v>2.7853403141361257</v>
      </c>
      <c r="J15" s="1">
        <f t="shared" si="3"/>
        <v>0.72146596858638745</v>
      </c>
    </row>
    <row r="16" spans="1:10">
      <c r="A16" s="1" t="s">
        <v>8</v>
      </c>
      <c r="B16" s="1">
        <v>37</v>
      </c>
      <c r="C16" s="1">
        <v>50</v>
      </c>
      <c r="D16" s="1">
        <v>7</v>
      </c>
      <c r="E16" s="1">
        <v>1</v>
      </c>
      <c r="F16" s="1">
        <v>10</v>
      </c>
      <c r="G16" s="1">
        <v>0.6</v>
      </c>
      <c r="H16" s="1">
        <v>0.54400000000000004</v>
      </c>
      <c r="I16" s="1">
        <f t="shared" si="2"/>
        <v>2.848167539267016</v>
      </c>
      <c r="J16" s="1">
        <f t="shared" si="3"/>
        <v>0.59598603839441533</v>
      </c>
    </row>
    <row r="17" spans="1:10">
      <c r="A17" s="1" t="s">
        <v>8</v>
      </c>
      <c r="B17" s="1">
        <v>37</v>
      </c>
      <c r="C17" s="1">
        <v>50</v>
      </c>
      <c r="D17" s="1">
        <v>7</v>
      </c>
      <c r="E17" s="1">
        <v>1</v>
      </c>
      <c r="F17" s="1">
        <v>10</v>
      </c>
      <c r="G17" s="1">
        <v>0.7</v>
      </c>
      <c r="H17" s="1">
        <v>0.53900000000000003</v>
      </c>
      <c r="I17" s="1">
        <f t="shared" si="2"/>
        <v>2.8219895287958114</v>
      </c>
      <c r="J17" s="1">
        <f t="shared" si="3"/>
        <v>0.51271503365744209</v>
      </c>
    </row>
    <row r="18" spans="1:10">
      <c r="A18" s="1" t="s">
        <v>8</v>
      </c>
      <c r="B18" s="1">
        <v>37</v>
      </c>
      <c r="C18" s="1">
        <v>50</v>
      </c>
      <c r="D18" s="1">
        <v>7</v>
      </c>
      <c r="E18" s="1">
        <v>1</v>
      </c>
      <c r="F18" s="1">
        <v>10</v>
      </c>
      <c r="G18" s="1">
        <v>0.8</v>
      </c>
      <c r="H18" s="1">
        <v>0.52200000000000002</v>
      </c>
      <c r="I18" s="1">
        <f t="shared" si="2"/>
        <v>2.7329842931937174</v>
      </c>
      <c r="J18" s="1">
        <f t="shared" si="3"/>
        <v>0.45418848167539272</v>
      </c>
    </row>
    <row r="19" spans="1:10">
      <c r="A19" s="1" t="s">
        <v>8</v>
      </c>
      <c r="B19" s="1">
        <v>37</v>
      </c>
      <c r="C19" s="1">
        <v>50</v>
      </c>
      <c r="D19" s="1">
        <v>7</v>
      </c>
      <c r="E19" s="1">
        <v>1</v>
      </c>
      <c r="F19" s="1">
        <v>10</v>
      </c>
      <c r="G19" s="1">
        <v>0.9</v>
      </c>
      <c r="H19" s="1">
        <v>0.51400000000000001</v>
      </c>
      <c r="I19" s="1">
        <f>AVERAGE(H19/0.191)</f>
        <v>2.6910994764397906</v>
      </c>
      <c r="J19" s="1">
        <f t="shared" si="3"/>
        <v>0.40605002908667831</v>
      </c>
    </row>
    <row r="20" spans="1:10">
      <c r="A20" s="1" t="s">
        <v>9</v>
      </c>
      <c r="B20" s="1">
        <v>37</v>
      </c>
      <c r="C20" s="1">
        <v>50</v>
      </c>
      <c r="D20" s="1">
        <v>7</v>
      </c>
      <c r="E20" s="1">
        <v>1</v>
      </c>
      <c r="F20" s="1">
        <v>10</v>
      </c>
      <c r="G20" s="1">
        <v>0.9</v>
      </c>
      <c r="H20" s="1">
        <v>0.11600000000000001</v>
      </c>
      <c r="I20" s="1">
        <f>AVERAGE(H20/0.191)</f>
        <v>0.60732984293193715</v>
      </c>
      <c r="J20" s="1">
        <f>AVERAGE(((F20-I20)*(50/1000))/0.9)</f>
        <v>0.5218150087260035</v>
      </c>
    </row>
    <row r="21" spans="1:10">
      <c r="A21" s="1" t="s">
        <v>9</v>
      </c>
      <c r="B21" s="1">
        <v>37</v>
      </c>
      <c r="C21" s="1">
        <v>50</v>
      </c>
      <c r="D21" s="1">
        <v>7</v>
      </c>
      <c r="E21" s="1">
        <v>1</v>
      </c>
      <c r="F21" s="1">
        <v>20</v>
      </c>
      <c r="G21" s="1">
        <v>0.9</v>
      </c>
      <c r="H21" s="1">
        <v>0.21299999999999999</v>
      </c>
      <c r="I21" s="1">
        <f t="shared" ref="I21:I28" si="4">AVERAGE(H21/0.191)</f>
        <v>1.1151832460732984</v>
      </c>
      <c r="J21" s="1">
        <f t="shared" ref="J21:J28" si="5">AVERAGE(((F21-I21)*(50/1000))/0.9)</f>
        <v>1.0491564863292613</v>
      </c>
    </row>
    <row r="22" spans="1:10">
      <c r="A22" s="1" t="s">
        <v>9</v>
      </c>
      <c r="B22" s="1">
        <v>37</v>
      </c>
      <c r="C22" s="1">
        <v>50</v>
      </c>
      <c r="D22" s="1">
        <v>7</v>
      </c>
      <c r="E22" s="1">
        <v>1</v>
      </c>
      <c r="F22" s="1">
        <v>30</v>
      </c>
      <c r="G22" s="1">
        <v>0.9</v>
      </c>
      <c r="H22" s="1">
        <v>0.31</v>
      </c>
      <c r="I22" s="1">
        <f t="shared" si="4"/>
        <v>1.6230366492146597</v>
      </c>
      <c r="J22" s="1">
        <f t="shared" si="5"/>
        <v>1.576497963932519</v>
      </c>
    </row>
    <row r="23" spans="1:10">
      <c r="A23" s="1" t="s">
        <v>9</v>
      </c>
      <c r="B23" s="1">
        <v>37</v>
      </c>
      <c r="C23" s="1">
        <v>50</v>
      </c>
      <c r="D23" s="1">
        <v>7</v>
      </c>
      <c r="E23" s="1">
        <v>1</v>
      </c>
      <c r="F23" s="1">
        <v>40</v>
      </c>
      <c r="G23" s="1">
        <v>0.9</v>
      </c>
      <c r="H23" s="1">
        <v>0.73799999999999999</v>
      </c>
      <c r="I23" s="1">
        <f t="shared" si="4"/>
        <v>3.8638743455497382</v>
      </c>
      <c r="J23" s="1">
        <f t="shared" si="5"/>
        <v>2.007562536358348</v>
      </c>
    </row>
    <row r="24" spans="1:10">
      <c r="A24" s="1" t="s">
        <v>9</v>
      </c>
      <c r="B24" s="1">
        <v>37</v>
      </c>
      <c r="C24" s="1">
        <v>50</v>
      </c>
      <c r="D24" s="1">
        <v>7</v>
      </c>
      <c r="E24" s="1">
        <v>1</v>
      </c>
      <c r="F24" s="1">
        <v>50</v>
      </c>
      <c r="G24" s="1">
        <v>0.9</v>
      </c>
      <c r="H24" s="1">
        <v>0.55600000000000005</v>
      </c>
      <c r="I24" s="1">
        <f t="shared" si="4"/>
        <v>2.9109947643979059</v>
      </c>
      <c r="J24" s="1">
        <f t="shared" si="5"/>
        <v>2.6160558464223382</v>
      </c>
    </row>
    <row r="25" spans="1:10">
      <c r="A25" s="1" t="s">
        <v>9</v>
      </c>
      <c r="B25" s="1">
        <v>37</v>
      </c>
      <c r="C25" s="1">
        <v>50</v>
      </c>
      <c r="D25" s="1">
        <v>7</v>
      </c>
      <c r="E25" s="1">
        <v>1</v>
      </c>
      <c r="F25" s="1">
        <v>60</v>
      </c>
      <c r="G25" s="1">
        <v>0.9</v>
      </c>
      <c r="H25" s="1">
        <v>0.624</v>
      </c>
      <c r="I25" s="1">
        <f t="shared" si="4"/>
        <v>3.2670157068062826</v>
      </c>
      <c r="J25" s="1">
        <f t="shared" si="5"/>
        <v>3.1518324607329844</v>
      </c>
    </row>
    <row r="26" spans="1:10">
      <c r="A26" s="1" t="s">
        <v>9</v>
      </c>
      <c r="B26" s="1">
        <v>37</v>
      </c>
      <c r="C26" s="1">
        <v>50</v>
      </c>
      <c r="D26" s="1">
        <v>7</v>
      </c>
      <c r="E26" s="1">
        <v>1</v>
      </c>
      <c r="F26" s="1">
        <v>70</v>
      </c>
      <c r="G26" s="1">
        <v>0.9</v>
      </c>
      <c r="H26" s="1">
        <v>0.69599999999999995</v>
      </c>
      <c r="I26" s="1">
        <f t="shared" si="4"/>
        <v>3.6439790575916229</v>
      </c>
      <c r="J26" s="1">
        <f t="shared" si="5"/>
        <v>3.6864456079115766</v>
      </c>
    </row>
    <row r="27" spans="1:10">
      <c r="A27" s="1" t="s">
        <v>9</v>
      </c>
      <c r="B27" s="1">
        <v>37</v>
      </c>
      <c r="C27" s="1">
        <v>50</v>
      </c>
      <c r="D27" s="1">
        <v>7</v>
      </c>
      <c r="E27" s="1">
        <v>1</v>
      </c>
      <c r="F27" s="1">
        <v>80</v>
      </c>
      <c r="G27" s="1">
        <v>0.9</v>
      </c>
      <c r="H27" s="1">
        <v>0.438</v>
      </c>
      <c r="I27" s="1">
        <f t="shared" si="4"/>
        <v>2.2931937172774868</v>
      </c>
      <c r="J27" s="1">
        <f t="shared" si="5"/>
        <v>4.3170447934845839</v>
      </c>
    </row>
    <row r="28" spans="1:10">
      <c r="A28" s="1" t="s">
        <v>9</v>
      </c>
      <c r="B28" s="1">
        <v>37</v>
      </c>
      <c r="C28" s="1">
        <v>50</v>
      </c>
      <c r="D28" s="1">
        <v>7</v>
      </c>
      <c r="E28" s="1">
        <v>1</v>
      </c>
      <c r="F28" s="1">
        <v>90</v>
      </c>
      <c r="G28" s="1">
        <v>0.9</v>
      </c>
      <c r="H28" s="1">
        <v>0.97899999999999998</v>
      </c>
      <c r="I28" s="1">
        <f t="shared" si="4"/>
        <v>5.1256544502617798</v>
      </c>
      <c r="J28" s="1">
        <f t="shared" si="5"/>
        <v>4.7152414194299013</v>
      </c>
    </row>
    <row r="29" spans="1:10">
      <c r="A29" s="1" t="s">
        <v>2</v>
      </c>
      <c r="B29" s="1">
        <v>25</v>
      </c>
      <c r="C29" s="1">
        <v>50</v>
      </c>
      <c r="D29" s="1">
        <v>7</v>
      </c>
      <c r="E29" s="1">
        <v>1</v>
      </c>
      <c r="F29" s="1">
        <v>10</v>
      </c>
      <c r="G29" s="1">
        <v>0.9</v>
      </c>
      <c r="H29" s="1">
        <v>0.18099999999999999</v>
      </c>
      <c r="I29" s="1">
        <f>AVERAGE(H29/0.191)</f>
        <v>0.94764397905759157</v>
      </c>
      <c r="J29" s="1">
        <f>AVERAGE(((F29-I29)*(50/1000))/0.9)</f>
        <v>0.50290866783013388</v>
      </c>
    </row>
    <row r="30" spans="1:10">
      <c r="A30" s="1" t="s">
        <v>2</v>
      </c>
      <c r="B30" s="1">
        <v>30</v>
      </c>
      <c r="C30" s="1">
        <v>50</v>
      </c>
      <c r="D30" s="1">
        <v>7</v>
      </c>
      <c r="E30" s="1">
        <v>1</v>
      </c>
      <c r="F30" s="1">
        <v>10</v>
      </c>
      <c r="G30" s="1">
        <v>0.9</v>
      </c>
      <c r="H30" s="1">
        <v>0.186</v>
      </c>
      <c r="I30" s="1">
        <f t="shared" ref="I30:I37" si="6">AVERAGE(H30/0.191)</f>
        <v>0.97382198952879584</v>
      </c>
      <c r="J30" s="1">
        <f t="shared" ref="J30:J37" si="7">AVERAGE(((F30-I30)*(50/1000))/0.9)</f>
        <v>0.50145433391506689</v>
      </c>
    </row>
    <row r="31" spans="1:10">
      <c r="A31" s="1" t="s">
        <v>2</v>
      </c>
      <c r="B31" s="1">
        <v>35</v>
      </c>
      <c r="C31" s="1">
        <v>50</v>
      </c>
      <c r="D31" s="1">
        <v>7</v>
      </c>
      <c r="E31" s="1">
        <v>1</v>
      </c>
      <c r="F31" s="1">
        <v>10</v>
      </c>
      <c r="G31" s="1">
        <v>0.9</v>
      </c>
      <c r="H31" s="1">
        <v>0.191</v>
      </c>
      <c r="I31" s="1">
        <f t="shared" si="6"/>
        <v>1</v>
      </c>
      <c r="J31" s="1">
        <f t="shared" si="7"/>
        <v>0.5</v>
      </c>
    </row>
    <row r="32" spans="1:10">
      <c r="A32" s="1" t="s">
        <v>2</v>
      </c>
      <c r="B32" s="1">
        <v>40</v>
      </c>
      <c r="C32" s="1">
        <v>50</v>
      </c>
      <c r="D32" s="1">
        <v>7</v>
      </c>
      <c r="E32" s="1">
        <v>1</v>
      </c>
      <c r="F32" s="1">
        <v>10</v>
      </c>
      <c r="G32" s="1">
        <v>0.9</v>
      </c>
      <c r="H32" s="1">
        <v>0.193</v>
      </c>
      <c r="I32" s="1">
        <f t="shared" si="6"/>
        <v>1.0104712041884816</v>
      </c>
      <c r="J32" s="1">
        <f t="shared" si="7"/>
        <v>0.49941826643397325</v>
      </c>
    </row>
    <row r="33" spans="1:10">
      <c r="A33" s="1" t="s">
        <v>2</v>
      </c>
      <c r="B33" s="1">
        <v>45</v>
      </c>
      <c r="C33" s="1">
        <v>50</v>
      </c>
      <c r="D33" s="1">
        <v>7</v>
      </c>
      <c r="E33" s="1">
        <v>1</v>
      </c>
      <c r="F33" s="1">
        <v>10</v>
      </c>
      <c r="G33" s="1">
        <v>0.9</v>
      </c>
      <c r="H33" s="1">
        <v>0.19500000000000001</v>
      </c>
      <c r="I33" s="1">
        <f t="shared" si="6"/>
        <v>1.0209424083769634</v>
      </c>
      <c r="J33" s="1">
        <f t="shared" si="7"/>
        <v>0.49883653286794644</v>
      </c>
    </row>
    <row r="34" spans="1:10">
      <c r="A34" s="1" t="s">
        <v>2</v>
      </c>
      <c r="B34" s="1">
        <v>50</v>
      </c>
      <c r="C34" s="1">
        <v>50</v>
      </c>
      <c r="D34" s="1">
        <v>7</v>
      </c>
      <c r="E34" s="1">
        <v>1</v>
      </c>
      <c r="F34" s="1">
        <v>10</v>
      </c>
      <c r="G34" s="1">
        <v>0.9</v>
      </c>
      <c r="H34" s="1">
        <v>0.20599999999999999</v>
      </c>
      <c r="I34" s="1">
        <f t="shared" si="6"/>
        <v>1.0785340314136125</v>
      </c>
      <c r="J34" s="1">
        <f t="shared" si="7"/>
        <v>0.49563699825479934</v>
      </c>
    </row>
    <row r="35" spans="1:10">
      <c r="A35" s="1" t="s">
        <v>2</v>
      </c>
      <c r="B35" s="1">
        <v>55</v>
      </c>
      <c r="C35" s="1">
        <v>50</v>
      </c>
      <c r="D35" s="1">
        <v>7</v>
      </c>
      <c r="E35" s="1">
        <v>1</v>
      </c>
      <c r="F35" s="1">
        <v>10</v>
      </c>
      <c r="G35" s="1">
        <v>0.9</v>
      </c>
      <c r="H35" s="1">
        <v>0.216</v>
      </c>
      <c r="I35" s="1">
        <f t="shared" si="6"/>
        <v>1.1308900523560208</v>
      </c>
      <c r="J35" s="1">
        <f t="shared" si="7"/>
        <v>0.49272833042466552</v>
      </c>
    </row>
    <row r="36" spans="1:10">
      <c r="A36" s="1" t="s">
        <v>2</v>
      </c>
      <c r="B36" s="1">
        <v>60</v>
      </c>
      <c r="C36" s="1">
        <v>50</v>
      </c>
      <c r="D36" s="1">
        <v>7</v>
      </c>
      <c r="E36" s="1">
        <v>1</v>
      </c>
      <c r="F36" s="1">
        <v>10</v>
      </c>
      <c r="G36" s="1">
        <v>0.9</v>
      </c>
      <c r="H36" s="1">
        <v>0.217</v>
      </c>
      <c r="I36" s="1">
        <f t="shared" si="6"/>
        <v>1.1361256544502618</v>
      </c>
      <c r="J36" s="1">
        <f t="shared" si="7"/>
        <v>0.4924374636416522</v>
      </c>
    </row>
    <row r="37" spans="1:10">
      <c r="A37" s="1" t="s">
        <v>2</v>
      </c>
      <c r="B37" s="1">
        <v>65</v>
      </c>
      <c r="C37" s="1">
        <v>50</v>
      </c>
      <c r="D37" s="1">
        <v>7</v>
      </c>
      <c r="E37" s="1">
        <v>1</v>
      </c>
      <c r="F37" s="1">
        <v>10</v>
      </c>
      <c r="G37" s="1">
        <v>0.9</v>
      </c>
      <c r="H37" s="1">
        <v>0.223</v>
      </c>
      <c r="I37" s="1">
        <f t="shared" si="6"/>
        <v>1.1675392670157068</v>
      </c>
      <c r="J37" s="1">
        <f t="shared" si="7"/>
        <v>0.49069226294357182</v>
      </c>
    </row>
    <row r="38" spans="1:10">
      <c r="A38" s="1" t="s">
        <v>3</v>
      </c>
      <c r="B38" s="1">
        <v>25</v>
      </c>
      <c r="C38" s="1">
        <v>50</v>
      </c>
      <c r="D38" s="1">
        <v>1</v>
      </c>
      <c r="E38" s="1">
        <v>1</v>
      </c>
      <c r="F38" s="1">
        <v>10</v>
      </c>
      <c r="G38" s="1">
        <v>0.9</v>
      </c>
      <c r="H38" s="1">
        <v>0.03</v>
      </c>
      <c r="I38" s="1">
        <f>AVERAGE(H38/0.191)</f>
        <v>0.15706806282722513</v>
      </c>
      <c r="J38" s="1">
        <f>AVERAGE(((F38-I38)*(50/1000))/0.9)</f>
        <v>0.54682955206515416</v>
      </c>
    </row>
    <row r="39" spans="1:10">
      <c r="A39" s="1" t="s">
        <v>3</v>
      </c>
      <c r="B39" s="1">
        <v>25</v>
      </c>
      <c r="C39" s="1">
        <v>50</v>
      </c>
      <c r="D39" s="1">
        <v>2</v>
      </c>
      <c r="E39" s="1">
        <v>1</v>
      </c>
      <c r="F39" s="1">
        <v>10</v>
      </c>
      <c r="G39" s="1">
        <v>0.9</v>
      </c>
      <c r="H39" s="1">
        <v>0.245</v>
      </c>
      <c r="I39" s="1">
        <f t="shared" ref="I39:I49" si="8">AVERAGE(H39/0.191)</f>
        <v>1.2827225130890052</v>
      </c>
      <c r="J39" s="1">
        <f t="shared" ref="J39:J49" si="9">AVERAGE(((F39-I39)*(50/1000))/0.9)</f>
        <v>0.48429319371727747</v>
      </c>
    </row>
    <row r="40" spans="1:10">
      <c r="A40" s="1" t="s">
        <v>3</v>
      </c>
      <c r="B40" s="1">
        <v>25</v>
      </c>
      <c r="C40" s="1">
        <v>50</v>
      </c>
      <c r="D40" s="1">
        <v>3</v>
      </c>
      <c r="E40" s="1">
        <v>1</v>
      </c>
      <c r="F40" s="1">
        <v>10</v>
      </c>
      <c r="G40" s="1">
        <v>0.9</v>
      </c>
      <c r="H40" s="1">
        <v>0.26100000000000001</v>
      </c>
      <c r="I40" s="1">
        <f t="shared" si="8"/>
        <v>1.3664921465968587</v>
      </c>
      <c r="J40" s="1">
        <f t="shared" si="9"/>
        <v>0.47963932518906344</v>
      </c>
    </row>
    <row r="41" spans="1:10">
      <c r="A41" s="1" t="s">
        <v>3</v>
      </c>
      <c r="B41" s="1">
        <v>25</v>
      </c>
      <c r="C41" s="1">
        <v>50</v>
      </c>
      <c r="D41" s="1">
        <v>4</v>
      </c>
      <c r="E41" s="1">
        <v>1</v>
      </c>
      <c r="F41" s="1">
        <v>10</v>
      </c>
      <c r="G41" s="1">
        <v>0.9</v>
      </c>
      <c r="H41" s="1">
        <v>0.27</v>
      </c>
      <c r="I41" s="1">
        <f t="shared" si="8"/>
        <v>1.4136125654450262</v>
      </c>
      <c r="J41" s="1">
        <f t="shared" si="9"/>
        <v>0.47702152414194299</v>
      </c>
    </row>
    <row r="42" spans="1:10">
      <c r="A42" s="1" t="s">
        <v>3</v>
      </c>
      <c r="B42" s="1">
        <v>25</v>
      </c>
      <c r="C42" s="1">
        <v>50</v>
      </c>
      <c r="D42" s="1">
        <v>5</v>
      </c>
      <c r="E42" s="1">
        <v>1</v>
      </c>
      <c r="F42" s="1">
        <v>10</v>
      </c>
      <c r="G42" s="1">
        <v>0.9</v>
      </c>
      <c r="H42" s="1">
        <v>0.27900000000000003</v>
      </c>
      <c r="I42" s="1">
        <f t="shared" si="8"/>
        <v>1.4607329842931938</v>
      </c>
      <c r="J42" s="1">
        <f t="shared" si="9"/>
        <v>0.47440372309482254</v>
      </c>
    </row>
    <row r="43" spans="1:10">
      <c r="A43" s="1" t="s">
        <v>3</v>
      </c>
      <c r="B43" s="1">
        <v>25</v>
      </c>
      <c r="C43" s="1">
        <v>50</v>
      </c>
      <c r="D43" s="1">
        <v>6</v>
      </c>
      <c r="E43" s="1">
        <v>1</v>
      </c>
      <c r="F43" s="1">
        <v>10</v>
      </c>
      <c r="G43" s="1">
        <v>0.9</v>
      </c>
      <c r="H43" s="1">
        <v>0.19900000000000001</v>
      </c>
      <c r="I43" s="1">
        <f t="shared" si="8"/>
        <v>1.0418848167539267</v>
      </c>
      <c r="J43" s="1">
        <f t="shared" si="9"/>
        <v>0.49767306573589298</v>
      </c>
    </row>
    <row r="44" spans="1:10">
      <c r="A44" s="1" t="s">
        <v>3</v>
      </c>
      <c r="B44" s="1">
        <v>25</v>
      </c>
      <c r="C44" s="1">
        <v>50</v>
      </c>
      <c r="D44" s="1">
        <v>7</v>
      </c>
      <c r="E44" s="1">
        <v>1</v>
      </c>
      <c r="F44" s="1">
        <v>10</v>
      </c>
      <c r="G44" s="1">
        <v>0.9</v>
      </c>
      <c r="H44" s="1">
        <v>0.20899999999999999</v>
      </c>
      <c r="I44" s="1">
        <f t="shared" si="8"/>
        <v>1.0942408376963351</v>
      </c>
      <c r="J44" s="1">
        <f t="shared" si="9"/>
        <v>0.49476439790575921</v>
      </c>
    </row>
    <row r="45" spans="1:10">
      <c r="A45" s="1" t="s">
        <v>3</v>
      </c>
      <c r="B45" s="1">
        <v>25</v>
      </c>
      <c r="C45" s="1">
        <v>50</v>
      </c>
      <c r="D45" s="1">
        <v>8</v>
      </c>
      <c r="E45" s="1">
        <v>1</v>
      </c>
      <c r="F45" s="1">
        <v>10</v>
      </c>
      <c r="G45" s="1">
        <v>0.9</v>
      </c>
      <c r="H45" s="1">
        <v>0.21199999999999999</v>
      </c>
      <c r="I45" s="1">
        <f t="shared" si="8"/>
        <v>1.1099476439790577</v>
      </c>
      <c r="J45" s="1">
        <f t="shared" si="9"/>
        <v>0.49389179755671897</v>
      </c>
    </row>
    <row r="46" spans="1:10">
      <c r="A46" s="1" t="s">
        <v>3</v>
      </c>
      <c r="B46" s="1">
        <v>25</v>
      </c>
      <c r="C46" s="1">
        <v>50</v>
      </c>
      <c r="D46" s="1">
        <v>9</v>
      </c>
      <c r="E46" s="1">
        <v>1</v>
      </c>
      <c r="F46" s="1">
        <v>10</v>
      </c>
      <c r="G46" s="1">
        <v>0.9</v>
      </c>
      <c r="H46" s="1">
        <v>0.31</v>
      </c>
      <c r="I46" s="1">
        <f t="shared" si="8"/>
        <v>1.6230366492146597</v>
      </c>
      <c r="J46" s="1">
        <f t="shared" si="9"/>
        <v>0.46538685282140779</v>
      </c>
    </row>
    <row r="47" spans="1:10">
      <c r="A47" s="1" t="s">
        <v>3</v>
      </c>
      <c r="B47" s="1">
        <v>25</v>
      </c>
      <c r="C47" s="1">
        <v>50</v>
      </c>
      <c r="D47" s="1">
        <v>10</v>
      </c>
      <c r="E47" s="1">
        <v>1</v>
      </c>
      <c r="F47" s="1">
        <v>10</v>
      </c>
      <c r="G47" s="1">
        <v>0.9</v>
      </c>
      <c r="H47" s="1">
        <v>0.29499999999999998</v>
      </c>
      <c r="I47" s="1">
        <f t="shared" si="8"/>
        <v>1.544502617801047</v>
      </c>
      <c r="J47" s="1">
        <f t="shared" si="9"/>
        <v>0.4697498545666085</v>
      </c>
    </row>
    <row r="48" spans="1:10">
      <c r="A48" s="1" t="s">
        <v>3</v>
      </c>
      <c r="B48" s="1">
        <v>25</v>
      </c>
      <c r="C48" s="1">
        <v>50</v>
      </c>
      <c r="D48" s="1">
        <v>11</v>
      </c>
      <c r="E48" s="1">
        <v>1</v>
      </c>
      <c r="F48" s="1">
        <v>10</v>
      </c>
      <c r="G48" s="1">
        <v>0.9</v>
      </c>
      <c r="H48" s="1">
        <v>0.34</v>
      </c>
      <c r="I48" s="1">
        <f t="shared" si="8"/>
        <v>1.7801047120418849</v>
      </c>
      <c r="J48" s="1">
        <f t="shared" si="9"/>
        <v>0.45666084933100642</v>
      </c>
    </row>
    <row r="49" spans="1:10">
      <c r="A49" s="1" t="s">
        <v>3</v>
      </c>
      <c r="B49" s="1">
        <v>25</v>
      </c>
      <c r="C49" s="1">
        <v>50</v>
      </c>
      <c r="D49" s="1">
        <v>12</v>
      </c>
      <c r="E49" s="1">
        <v>1</v>
      </c>
      <c r="F49" s="1">
        <v>10</v>
      </c>
      <c r="G49" s="1">
        <v>0.9</v>
      </c>
      <c r="H49" s="1">
        <v>0.189</v>
      </c>
      <c r="I49" s="1">
        <f t="shared" si="8"/>
        <v>0.98952879581151831</v>
      </c>
      <c r="J49" s="1">
        <f t="shared" si="9"/>
        <v>0.50058173356602675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Agbo</dc:creator>
  <cp:lastModifiedBy>Victor Agbo</cp:lastModifiedBy>
  <dcterms:created xsi:type="dcterms:W3CDTF">2026-09-08T12:55:04Z</dcterms:created>
  <dcterms:modified xsi:type="dcterms:W3CDTF">2026-09-09T18:00:48Z</dcterms:modified>
</cp:coreProperties>
</file>